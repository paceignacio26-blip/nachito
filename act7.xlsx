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ownloads\"/>
    </mc:Choice>
  </mc:AlternateContent>
  <xr:revisionPtr revIDLastSave="0" documentId="8_{7CD58FC4-1228-4081-86D5-530078512517}" xr6:coauthVersionLast="47" xr6:coauthVersionMax="47" xr10:uidLastSave="{00000000-0000-0000-0000-000000000000}"/>
  <bookViews>
    <workbookView xWindow="-120" yWindow="-120" windowWidth="29040" windowHeight="15720" activeTab="2" xr2:uid="{9BFFB2AB-140B-4164-884D-F447125A742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2" i="3"/>
  <c r="C2" i="3"/>
  <c r="C3" i="3"/>
  <c r="C4" i="3"/>
  <c r="C5" i="3"/>
  <c r="C6" i="3"/>
  <c r="C7" i="3"/>
  <c r="C8" i="3"/>
  <c r="B3" i="3"/>
  <c r="B4" i="3"/>
  <c r="B5" i="3"/>
  <c r="B6" i="3"/>
  <c r="B7" i="3"/>
  <c r="B8" i="3"/>
  <c r="B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B10" i="2"/>
  <c r="E40" i="1"/>
  <c r="E41" i="1"/>
  <c r="E39" i="1"/>
  <c r="D40" i="1"/>
  <c r="D41" i="1"/>
  <c r="D39" i="1"/>
</calcChain>
</file>

<file path=xl/sharedStrings.xml><?xml version="1.0" encoding="utf-8"?>
<sst xmlns="http://schemas.openxmlformats.org/spreadsheetml/2006/main" count="148" uniqueCount="68">
  <si>
    <t>Fecha</t>
  </si>
  <si>
    <t>Vendedor</t>
  </si>
  <si>
    <t>Producto</t>
  </si>
  <si>
    <t>Cantidad</t>
  </si>
  <si>
    <t>Total</t>
  </si>
  <si>
    <t>Estado de pago</t>
  </si>
  <si>
    <t>Comision</t>
  </si>
  <si>
    <t>Total a pagar</t>
  </si>
  <si>
    <t>Premio</t>
  </si>
  <si>
    <t>Pedro</t>
  </si>
  <si>
    <t>Pablo</t>
  </si>
  <si>
    <t>Claudia</t>
  </si>
  <si>
    <t>Mouse</t>
  </si>
  <si>
    <t>Teclado</t>
  </si>
  <si>
    <t>Disco duro</t>
  </si>
  <si>
    <t>monitor</t>
  </si>
  <si>
    <t>Monitor</t>
  </si>
  <si>
    <t>Total Gral:</t>
  </si>
  <si>
    <t>**</t>
  </si>
  <si>
    <t>Contado</t>
  </si>
  <si>
    <t>Transferencia</t>
  </si>
  <si>
    <t>Tarjeta</t>
  </si>
  <si>
    <t>Detalle</t>
  </si>
  <si>
    <t>Precio Unitario</t>
  </si>
  <si>
    <t>Cantidad de Productos mas vendidos:</t>
  </si>
  <si>
    <t>Cantidad total de eproductos vendidos:</t>
  </si>
  <si>
    <t>Cantidad total de cada producto vendido</t>
  </si>
  <si>
    <t>Total Recaudado de comision por cada vendedor</t>
  </si>
  <si>
    <t>Pedro:</t>
  </si>
  <si>
    <t>Disco duro:</t>
  </si>
  <si>
    <t>Mouse:</t>
  </si>
  <si>
    <t>Teclado:</t>
  </si>
  <si>
    <t>Monitor:</t>
  </si>
  <si>
    <t>Claudia:</t>
  </si>
  <si>
    <t>Pablo:</t>
  </si>
  <si>
    <t>Fecha de nacimiento</t>
  </si>
  <si>
    <t>Fecha ingreso a la empresa</t>
  </si>
  <si>
    <t>Edad</t>
  </si>
  <si>
    <t>Antigüedad en la empresa</t>
  </si>
  <si>
    <t>1) Las celdas que contengan precios, deberán tener formato moneda con dos decimales.</t>
  </si>
  <si>
    <t>2) Se debe configurar el diseño con bordes, los títulos en negrita y centrados, color de fondo como aparece en la pantalla.</t>
  </si>
  <si>
    <t>3) La comisión será calculada sobre el total, si el producto lo vendio en efectivo será un 10%, y con transferencia el 5%. (Resolverlo con =si)</t>
  </si>
  <si>
    <t>4) El total a pagar será un 20% de descuento sobre el total si la compra fue realizada un día de la semana laboral (Lunes-Viernes), </t>
  </si>
  <si>
    <t>en caso contrario no tendrá descuento.</t>
  </si>
  <si>
    <t>5) Al total Gral realizarlo con la función sumaproducto.</t>
  </si>
  <si>
    <t>6) El premio será el 50% del total a pagar si la fecha de venta coincide con la fecha de su cumple y posee más de 10 años de antigüedad,  </t>
  </si>
  <si>
    <t>será el 20% si posee menos años de antigüedad. En caso contrario que no cumpla años aparecerá espacios en blanco. (Resolverlo con =si)</t>
  </si>
  <si>
    <t>7) Una vez que has resuelto todo, debes proteger las celdas donde hayan fórmulas, para que el usuario no pueda modificarlas.</t>
  </si>
  <si>
    <t>Nro</t>
  </si>
  <si>
    <t>Precio</t>
  </si>
  <si>
    <t>Origen</t>
  </si>
  <si>
    <t>teclado</t>
  </si>
  <si>
    <t>disco</t>
  </si>
  <si>
    <t>drive</t>
  </si>
  <si>
    <t>China</t>
  </si>
  <si>
    <t>EEUU</t>
  </si>
  <si>
    <t>Nacional</t>
  </si>
  <si>
    <t>Código</t>
  </si>
  <si>
    <t>Año</t>
  </si>
  <si>
    <t>Curso</t>
  </si>
  <si>
    <t>Especialidad</t>
  </si>
  <si>
    <t>Informatica 5C Taller MI</t>
  </si>
  <si>
    <t>Informatica 5C Taller MA</t>
  </si>
  <si>
    <t>Informatica 5C Taller VI</t>
  </si>
  <si>
    <t>Informatica 5A Taller MA-VI</t>
  </si>
  <si>
    <t>Informatica 5A Taller LU-MI</t>
  </si>
  <si>
    <t>Automotor 5B LU-MI</t>
  </si>
  <si>
    <t>Automotor 5B MA-VI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</si>
</sst>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2" borderId="0" xfId="0" applyFont="1" applyFill="1"/>
    <xf numFmtId="8" fontId="0" fillId="0" borderId="0" xfId="0" applyNumberFormat="1"/>
    <xf numFmtId="0" fontId="3" fillId="0" borderId="0" xfId="0" applyFont="1"/>
    <xf numFmtId="164" fontId="2" fillId="2" borderId="0" xfId="0" applyNumberFormat="1" applyFont="1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06CF-8ECE-488E-8803-CC650CF6BB4F}">
  <dimension ref="A1:I51"/>
  <sheetViews>
    <sheetView topLeftCell="B1" workbookViewId="0">
      <selection activeCell="J3" sqref="J3"/>
    </sheetView>
  </sheetViews>
  <sheetFormatPr baseColWidth="10" defaultRowHeight="15" x14ac:dyDescent="0.25"/>
  <cols>
    <col min="2" max="2" width="18.85546875" customWidth="1"/>
    <col min="3" max="3" width="24.28515625" customWidth="1"/>
    <col min="5" max="5" width="24.5703125" customWidth="1"/>
    <col min="6" max="6" width="13.85546875" customWidth="1"/>
  </cols>
  <sheetData>
    <row r="1" spans="1:9" ht="16.5" thickTop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5.75" thickTop="1" x14ac:dyDescent="0.25">
      <c r="A2" s="1">
        <v>46116</v>
      </c>
      <c r="B2" t="s">
        <v>9</v>
      </c>
      <c r="C2" t="s">
        <v>12</v>
      </c>
      <c r="D2">
        <v>2</v>
      </c>
      <c r="E2" s="5">
        <f>VLOOKUP(C2,A$19:B$22,2,FALSE)*D2</f>
        <v>8000</v>
      </c>
      <c r="F2" t="s">
        <v>19</v>
      </c>
      <c r="G2" s="5">
        <f>IF(F2="Contado",E2*10%,IF(F2="Transferencia",E2*5%,))</f>
        <v>800</v>
      </c>
      <c r="H2" s="5"/>
      <c r="I2" s="5" t="s">
        <v>18</v>
      </c>
    </row>
    <row r="3" spans="1:9" x14ac:dyDescent="0.25">
      <c r="A3" s="1">
        <v>46116</v>
      </c>
      <c r="B3" t="s">
        <v>10</v>
      </c>
      <c r="C3" t="s">
        <v>12</v>
      </c>
      <c r="D3">
        <v>1</v>
      </c>
      <c r="E3" s="5">
        <f t="shared" ref="E3:E16" si="0">VLOOKUP(C3,A$19:B$22,2,FALSE)*D3</f>
        <v>4000</v>
      </c>
      <c r="F3" t="s">
        <v>20</v>
      </c>
      <c r="G3" s="5">
        <f t="shared" ref="G3:G16" si="1">IF(F3="Contado",E3*10%,IF(F3="Transferencia",E3*5%,))</f>
        <v>200</v>
      </c>
      <c r="H3" s="5" t="s">
        <v>18</v>
      </c>
      <c r="I3" s="5" t="s">
        <v>18</v>
      </c>
    </row>
    <row r="4" spans="1:9" x14ac:dyDescent="0.25">
      <c r="A4" s="1">
        <v>46120</v>
      </c>
      <c r="B4" t="s">
        <v>9</v>
      </c>
      <c r="C4" t="s">
        <v>13</v>
      </c>
      <c r="D4">
        <v>1</v>
      </c>
      <c r="E4" s="5">
        <f t="shared" si="0"/>
        <v>25000</v>
      </c>
      <c r="F4" t="s">
        <v>21</v>
      </c>
      <c r="G4" s="5">
        <f t="shared" si="1"/>
        <v>0</v>
      </c>
      <c r="H4" s="5" t="s">
        <v>18</v>
      </c>
      <c r="I4" s="5" t="s">
        <v>18</v>
      </c>
    </row>
    <row r="5" spans="1:9" x14ac:dyDescent="0.25">
      <c r="A5" s="1">
        <v>46120</v>
      </c>
      <c r="B5" t="s">
        <v>11</v>
      </c>
      <c r="C5" t="s">
        <v>13</v>
      </c>
      <c r="D5">
        <v>1</v>
      </c>
      <c r="E5" s="5">
        <f t="shared" si="0"/>
        <v>25000</v>
      </c>
      <c r="F5" t="s">
        <v>19</v>
      </c>
      <c r="G5" s="5">
        <f t="shared" si="1"/>
        <v>2500</v>
      </c>
      <c r="H5" s="5" t="s">
        <v>18</v>
      </c>
      <c r="I5" s="5" t="s">
        <v>18</v>
      </c>
    </row>
    <row r="6" spans="1:9" x14ac:dyDescent="0.25">
      <c r="A6" s="1">
        <v>46120</v>
      </c>
      <c r="B6" t="s">
        <v>11</v>
      </c>
      <c r="C6" t="s">
        <v>16</v>
      </c>
      <c r="D6">
        <v>1</v>
      </c>
      <c r="E6" s="5">
        <f t="shared" si="0"/>
        <v>25000</v>
      </c>
      <c r="F6" t="s">
        <v>20</v>
      </c>
      <c r="G6" s="5">
        <f t="shared" si="1"/>
        <v>1250</v>
      </c>
      <c r="H6" s="5" t="s">
        <v>18</v>
      </c>
      <c r="I6" s="5" t="s">
        <v>18</v>
      </c>
    </row>
    <row r="7" spans="1:9" x14ac:dyDescent="0.25">
      <c r="A7" s="1">
        <v>46124</v>
      </c>
      <c r="B7" t="s">
        <v>9</v>
      </c>
      <c r="C7" t="s">
        <v>16</v>
      </c>
      <c r="D7">
        <v>2</v>
      </c>
      <c r="E7" s="5">
        <f t="shared" si="0"/>
        <v>50000</v>
      </c>
      <c r="F7" t="s">
        <v>21</v>
      </c>
      <c r="G7" s="5">
        <f t="shared" si="1"/>
        <v>0</v>
      </c>
      <c r="H7" s="5" t="s">
        <v>18</v>
      </c>
      <c r="I7" s="5" t="s">
        <v>18</v>
      </c>
    </row>
    <row r="8" spans="1:9" x14ac:dyDescent="0.25">
      <c r="A8" s="1">
        <v>46124</v>
      </c>
      <c r="B8" t="s">
        <v>10</v>
      </c>
      <c r="C8" t="s">
        <v>12</v>
      </c>
      <c r="D8">
        <v>3</v>
      </c>
      <c r="E8" s="5">
        <f t="shared" si="0"/>
        <v>12000</v>
      </c>
      <c r="F8" t="s">
        <v>19</v>
      </c>
      <c r="G8" s="5">
        <f t="shared" si="1"/>
        <v>1200</v>
      </c>
      <c r="H8" s="5" t="s">
        <v>18</v>
      </c>
      <c r="I8" s="5" t="s">
        <v>18</v>
      </c>
    </row>
    <row r="9" spans="1:9" x14ac:dyDescent="0.25">
      <c r="A9" s="1">
        <v>46124</v>
      </c>
      <c r="B9" t="s">
        <v>10</v>
      </c>
      <c r="C9" t="s">
        <v>13</v>
      </c>
      <c r="D9">
        <v>4</v>
      </c>
      <c r="E9" s="5">
        <f t="shared" si="0"/>
        <v>100000</v>
      </c>
      <c r="F9" t="s">
        <v>20</v>
      </c>
      <c r="G9" s="5">
        <f t="shared" si="1"/>
        <v>5000</v>
      </c>
      <c r="H9" s="5" t="s">
        <v>18</v>
      </c>
      <c r="I9" s="5" t="s">
        <v>18</v>
      </c>
    </row>
    <row r="10" spans="1:9" x14ac:dyDescent="0.25">
      <c r="A10" s="1">
        <v>46132</v>
      </c>
      <c r="B10" t="s">
        <v>11</v>
      </c>
      <c r="C10" t="s">
        <v>16</v>
      </c>
      <c r="D10">
        <v>1</v>
      </c>
      <c r="E10" s="5">
        <f t="shared" si="0"/>
        <v>25000</v>
      </c>
      <c r="F10" t="s">
        <v>21</v>
      </c>
      <c r="G10" s="5">
        <f t="shared" si="1"/>
        <v>0</v>
      </c>
      <c r="H10" s="5" t="s">
        <v>18</v>
      </c>
      <c r="I10" s="5" t="s">
        <v>18</v>
      </c>
    </row>
    <row r="11" spans="1:9" x14ac:dyDescent="0.25">
      <c r="A11" s="1">
        <v>46089</v>
      </c>
      <c r="B11" t="s">
        <v>9</v>
      </c>
      <c r="C11" t="s">
        <v>16</v>
      </c>
      <c r="D11">
        <v>2</v>
      </c>
      <c r="E11" s="5">
        <f t="shared" si="0"/>
        <v>50000</v>
      </c>
      <c r="F11" t="s">
        <v>19</v>
      </c>
      <c r="G11" s="5">
        <f t="shared" si="1"/>
        <v>5000</v>
      </c>
      <c r="H11" s="5" t="s">
        <v>18</v>
      </c>
      <c r="I11" s="5" t="s">
        <v>18</v>
      </c>
    </row>
    <row r="12" spans="1:9" x14ac:dyDescent="0.25">
      <c r="A12" s="1">
        <v>46089</v>
      </c>
      <c r="B12" t="s">
        <v>9</v>
      </c>
      <c r="C12" t="s">
        <v>14</v>
      </c>
      <c r="D12">
        <v>2</v>
      </c>
      <c r="E12" s="5">
        <f t="shared" si="0"/>
        <v>160000</v>
      </c>
      <c r="F12" t="s">
        <v>20</v>
      </c>
      <c r="G12" s="5">
        <f t="shared" si="1"/>
        <v>8000</v>
      </c>
      <c r="H12" s="5" t="s">
        <v>18</v>
      </c>
      <c r="I12" s="5" t="s">
        <v>18</v>
      </c>
    </row>
    <row r="13" spans="1:9" x14ac:dyDescent="0.25">
      <c r="A13" s="1">
        <v>46132</v>
      </c>
      <c r="B13" t="s">
        <v>11</v>
      </c>
      <c r="C13" t="s">
        <v>14</v>
      </c>
      <c r="D13">
        <v>3</v>
      </c>
      <c r="E13" s="5">
        <f t="shared" si="0"/>
        <v>240000</v>
      </c>
      <c r="F13" t="s">
        <v>21</v>
      </c>
      <c r="G13" s="5">
        <f t="shared" si="1"/>
        <v>0</v>
      </c>
      <c r="H13" s="5" t="s">
        <v>18</v>
      </c>
      <c r="I13" s="5" t="s">
        <v>18</v>
      </c>
    </row>
    <row r="14" spans="1:9" x14ac:dyDescent="0.25">
      <c r="A14" s="1">
        <v>46133</v>
      </c>
      <c r="B14" t="s">
        <v>9</v>
      </c>
      <c r="C14" t="s">
        <v>14</v>
      </c>
      <c r="D14">
        <v>2</v>
      </c>
      <c r="E14" s="5">
        <f t="shared" si="0"/>
        <v>160000</v>
      </c>
      <c r="F14" t="s">
        <v>19</v>
      </c>
      <c r="G14" s="5">
        <f t="shared" si="1"/>
        <v>16000</v>
      </c>
      <c r="H14" s="5" t="s">
        <v>18</v>
      </c>
      <c r="I14" s="5" t="s">
        <v>18</v>
      </c>
    </row>
    <row r="15" spans="1:9" x14ac:dyDescent="0.25">
      <c r="A15" s="1">
        <v>46133</v>
      </c>
      <c r="B15" t="s">
        <v>11</v>
      </c>
      <c r="C15" t="s">
        <v>13</v>
      </c>
      <c r="D15">
        <v>3</v>
      </c>
      <c r="E15" s="5">
        <f t="shared" si="0"/>
        <v>75000</v>
      </c>
      <c r="F15" t="s">
        <v>20</v>
      </c>
      <c r="G15" s="5">
        <f t="shared" si="1"/>
        <v>3750</v>
      </c>
      <c r="H15" s="5" t="s">
        <v>18</v>
      </c>
      <c r="I15" s="5" t="s">
        <v>18</v>
      </c>
    </row>
    <row r="16" spans="1:9" x14ac:dyDescent="0.25">
      <c r="A16" s="1">
        <v>46163</v>
      </c>
      <c r="B16" t="s">
        <v>9</v>
      </c>
      <c r="C16" t="s">
        <v>12</v>
      </c>
      <c r="D16">
        <v>4</v>
      </c>
      <c r="E16" s="5">
        <f t="shared" si="0"/>
        <v>16000</v>
      </c>
      <c r="F16" t="s">
        <v>21</v>
      </c>
      <c r="G16" s="5">
        <f t="shared" si="1"/>
        <v>0</v>
      </c>
      <c r="H16" s="5" t="s">
        <v>18</v>
      </c>
      <c r="I16" s="5" t="s">
        <v>18</v>
      </c>
    </row>
    <row r="17" spans="1:5" ht="15.75" thickBot="1" x14ac:dyDescent="0.3">
      <c r="D17" t="s">
        <v>17</v>
      </c>
      <c r="E17" s="5"/>
    </row>
    <row r="18" spans="1:5" ht="16.5" thickTop="1" thickBot="1" x14ac:dyDescent="0.3">
      <c r="A18" s="6" t="s">
        <v>22</v>
      </c>
      <c r="B18" s="6" t="s">
        <v>23</v>
      </c>
    </row>
    <row r="19" spans="1:5" ht="15.75" thickTop="1" x14ac:dyDescent="0.25">
      <c r="A19" t="s">
        <v>12</v>
      </c>
      <c r="B19" s="3">
        <v>4000</v>
      </c>
    </row>
    <row r="20" spans="1:5" x14ac:dyDescent="0.25">
      <c r="A20" t="s">
        <v>13</v>
      </c>
      <c r="B20" s="3">
        <v>25000</v>
      </c>
    </row>
    <row r="21" spans="1:5" x14ac:dyDescent="0.25">
      <c r="A21" t="s">
        <v>16</v>
      </c>
      <c r="B21" s="3">
        <v>25000</v>
      </c>
    </row>
    <row r="22" spans="1:5" x14ac:dyDescent="0.25">
      <c r="A22" t="s">
        <v>14</v>
      </c>
      <c r="B22" s="3">
        <v>80000</v>
      </c>
    </row>
    <row r="24" spans="1:5" x14ac:dyDescent="0.25">
      <c r="A24" t="s">
        <v>24</v>
      </c>
    </row>
    <row r="25" spans="1:5" x14ac:dyDescent="0.25">
      <c r="A25" t="s">
        <v>25</v>
      </c>
    </row>
    <row r="27" spans="1:5" x14ac:dyDescent="0.25">
      <c r="A27" t="s">
        <v>26</v>
      </c>
    </row>
    <row r="28" spans="1:5" x14ac:dyDescent="0.25">
      <c r="A28" t="s">
        <v>29</v>
      </c>
      <c r="B28" s="2" t="s">
        <v>18</v>
      </c>
    </row>
    <row r="29" spans="1:5" x14ac:dyDescent="0.25">
      <c r="A29" t="s">
        <v>30</v>
      </c>
      <c r="B29" s="2" t="s">
        <v>18</v>
      </c>
    </row>
    <row r="30" spans="1:5" x14ac:dyDescent="0.25">
      <c r="A30" t="s">
        <v>31</v>
      </c>
      <c r="B30" s="2" t="s">
        <v>18</v>
      </c>
    </row>
    <row r="31" spans="1:5" x14ac:dyDescent="0.25">
      <c r="A31" t="s">
        <v>32</v>
      </c>
      <c r="B31" s="2" t="s">
        <v>18</v>
      </c>
    </row>
    <row r="33" spans="1:5" x14ac:dyDescent="0.25">
      <c r="A33" t="s">
        <v>27</v>
      </c>
    </row>
    <row r="34" spans="1:5" x14ac:dyDescent="0.25">
      <c r="A34" t="s">
        <v>28</v>
      </c>
    </row>
    <row r="35" spans="1:5" x14ac:dyDescent="0.25">
      <c r="A35" t="s">
        <v>33</v>
      </c>
    </row>
    <row r="36" spans="1:5" x14ac:dyDescent="0.25">
      <c r="A36" t="s">
        <v>34</v>
      </c>
    </row>
    <row r="37" spans="1:5" ht="15.75" thickBot="1" x14ac:dyDescent="0.3"/>
    <row r="38" spans="1:5" ht="16.5" thickTop="1" thickBot="1" x14ac:dyDescent="0.3">
      <c r="A38" s="6" t="s">
        <v>1</v>
      </c>
      <c r="B38" s="6" t="s">
        <v>35</v>
      </c>
      <c r="C38" s="6" t="s">
        <v>36</v>
      </c>
      <c r="D38" s="6" t="s">
        <v>37</v>
      </c>
      <c r="E38" s="6" t="s">
        <v>38</v>
      </c>
    </row>
    <row r="39" spans="1:5" ht="15.75" thickTop="1" x14ac:dyDescent="0.25">
      <c r="A39" t="s">
        <v>11</v>
      </c>
      <c r="B39" s="1">
        <v>38450</v>
      </c>
      <c r="C39" s="1">
        <v>44314</v>
      </c>
      <c r="D39" s="2">
        <f ca="1">DATEDIF(B39,TODAY(),"y")</f>
        <v>21</v>
      </c>
      <c r="E39" s="2">
        <f ca="1">DATEDIF(C39,TODAY(),"y")</f>
        <v>4</v>
      </c>
    </row>
    <row r="40" spans="1:5" x14ac:dyDescent="0.25">
      <c r="A40" t="s">
        <v>10</v>
      </c>
      <c r="B40" s="1">
        <v>36628</v>
      </c>
      <c r="C40" s="1">
        <v>42798</v>
      </c>
      <c r="D40" s="2">
        <f ca="1">DATEDIF(B40,TODAY(),"y")</f>
        <v>26</v>
      </c>
      <c r="E40" s="2">
        <f t="shared" ref="E40:E41" ca="1" si="2">DATEDIF(C40,TODAY(),"y")</f>
        <v>9</v>
      </c>
    </row>
    <row r="41" spans="1:5" x14ac:dyDescent="0.25">
      <c r="A41" t="s">
        <v>9</v>
      </c>
      <c r="B41" s="1">
        <v>28557</v>
      </c>
      <c r="C41" s="1">
        <v>35827</v>
      </c>
      <c r="D41" s="2">
        <f t="shared" ref="D41" ca="1" si="3">DATEDIF(B41,TODAY(),"y")</f>
        <v>48</v>
      </c>
      <c r="E41" s="2">
        <f t="shared" ca="1" si="2"/>
        <v>28</v>
      </c>
    </row>
    <row r="43" spans="1:5" x14ac:dyDescent="0.25">
      <c r="A43" s="4" t="s">
        <v>39</v>
      </c>
    </row>
    <row r="44" spans="1:5" x14ac:dyDescent="0.25">
      <c r="A44" s="4" t="s">
        <v>40</v>
      </c>
    </row>
    <row r="45" spans="1:5" x14ac:dyDescent="0.25">
      <c r="A45" s="4" t="s">
        <v>41</v>
      </c>
    </row>
    <row r="46" spans="1:5" x14ac:dyDescent="0.25">
      <c r="A46" s="4" t="s">
        <v>42</v>
      </c>
    </row>
    <row r="47" spans="1:5" x14ac:dyDescent="0.25">
      <c r="A47" s="4" t="s">
        <v>43</v>
      </c>
    </row>
    <row r="48" spans="1:5" x14ac:dyDescent="0.25">
      <c r="A48" s="4" t="s">
        <v>44</v>
      </c>
    </row>
    <row r="49" spans="1:1" x14ac:dyDescent="0.25">
      <c r="A49" s="4" t="s">
        <v>45</v>
      </c>
    </row>
    <row r="50" spans="1:1" x14ac:dyDescent="0.25">
      <c r="A50" s="4" t="s">
        <v>46</v>
      </c>
    </row>
    <row r="51" spans="1:1" x14ac:dyDescent="0.25">
      <c r="A51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78D4-178F-419C-91B3-7E2A2D2173C4}">
  <dimension ref="A1:D10"/>
  <sheetViews>
    <sheetView workbookViewId="0">
      <selection activeCell="B11" sqref="B11"/>
    </sheetView>
  </sheetViews>
  <sheetFormatPr baseColWidth="10" defaultRowHeight="15" x14ac:dyDescent="0.25"/>
  <sheetData>
    <row r="1" spans="1:4" x14ac:dyDescent="0.25">
      <c r="A1" t="s">
        <v>48</v>
      </c>
      <c r="B1" t="s">
        <v>22</v>
      </c>
      <c r="C1" t="s">
        <v>49</v>
      </c>
      <c r="D1" t="s">
        <v>50</v>
      </c>
    </row>
    <row r="2" spans="1:4" x14ac:dyDescent="0.25">
      <c r="A2">
        <v>1</v>
      </c>
      <c r="B2" t="s">
        <v>12</v>
      </c>
      <c r="C2">
        <v>4000</v>
      </c>
      <c r="D2" t="s">
        <v>54</v>
      </c>
    </row>
    <row r="3" spans="1:4" x14ac:dyDescent="0.25">
      <c r="A3">
        <v>2</v>
      </c>
      <c r="B3" t="s">
        <v>51</v>
      </c>
      <c r="C3">
        <v>40000</v>
      </c>
      <c r="D3" t="s">
        <v>55</v>
      </c>
    </row>
    <row r="4" spans="1:4" x14ac:dyDescent="0.25">
      <c r="A4">
        <v>3</v>
      </c>
      <c r="B4" t="s">
        <v>15</v>
      </c>
      <c r="C4">
        <v>150000</v>
      </c>
      <c r="D4" t="s">
        <v>56</v>
      </c>
    </row>
    <row r="5" spans="1:4" x14ac:dyDescent="0.25">
      <c r="A5">
        <v>4</v>
      </c>
      <c r="B5" t="s">
        <v>52</v>
      </c>
      <c r="C5">
        <v>80000</v>
      </c>
      <c r="D5" t="s">
        <v>54</v>
      </c>
    </row>
    <row r="6" spans="1:4" x14ac:dyDescent="0.25">
      <c r="A6">
        <v>5</v>
      </c>
      <c r="B6" t="s">
        <v>53</v>
      </c>
      <c r="C6">
        <v>20000</v>
      </c>
      <c r="D6" t="s">
        <v>55</v>
      </c>
    </row>
    <row r="9" spans="1:4" x14ac:dyDescent="0.25">
      <c r="A9" t="s">
        <v>48</v>
      </c>
    </row>
    <row r="10" spans="1:4" x14ac:dyDescent="0.25">
      <c r="A10">
        <v>3</v>
      </c>
      <c r="B10" t="str">
        <f>VLOOKUP(A10,A2:D6,4,FALSE)</f>
        <v>Nacional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DABD-248B-420A-8219-9E3CBB9AB6AD}">
  <dimension ref="A1:D8"/>
  <sheetViews>
    <sheetView tabSelected="1" workbookViewId="0">
      <selection activeCell="E8" sqref="E8"/>
    </sheetView>
  </sheetViews>
  <sheetFormatPr baseColWidth="10" defaultRowHeight="15" x14ac:dyDescent="0.25"/>
  <cols>
    <col min="1" max="2" width="26.85546875" customWidth="1"/>
  </cols>
  <sheetData>
    <row r="1" spans="1:4" x14ac:dyDescent="0.25">
      <c r="A1" t="s">
        <v>57</v>
      </c>
      <c r="B1" t="s">
        <v>60</v>
      </c>
      <c r="C1" t="s">
        <v>58</v>
      </c>
      <c r="D1" t="s">
        <v>59</v>
      </c>
    </row>
    <row r="2" spans="1:4" x14ac:dyDescent="0.25">
      <c r="A2" t="s">
        <v>65</v>
      </c>
      <c r="B2" t="str">
        <f>LEFT(A2,SEARCH(" ",A2,1)-1)</f>
        <v>Informatica</v>
      </c>
      <c r="C2" t="str">
        <f>MID(A2,SEARCH(" ",A2,1)+1,1)</f>
        <v>5</v>
      </c>
      <c r="D2" t="str">
        <f>MID(A2,SEARCH(" ",A2,1)+2,1)</f>
        <v>A</v>
      </c>
    </row>
    <row r="3" spans="1:4" x14ac:dyDescent="0.25">
      <c r="A3" t="s">
        <v>64</v>
      </c>
      <c r="B3" t="str">
        <f t="shared" ref="B3:B8" si="0">LEFT(A3,SEARCH(" ",A3,1)-1)</f>
        <v>Informatica</v>
      </c>
      <c r="C3" t="str">
        <f t="shared" ref="C3:C8" si="1">MID(A3,SEARCH(" ",A3,1)+1,1)</f>
        <v>5</v>
      </c>
      <c r="D3" t="str">
        <f t="shared" ref="D3:D8" si="2">MID(A3,SEARCH(" ",A3,1)+2,1)</f>
        <v>A</v>
      </c>
    </row>
    <row r="4" spans="1:4" x14ac:dyDescent="0.25">
      <c r="A4" t="s">
        <v>63</v>
      </c>
      <c r="B4" t="str">
        <f t="shared" si="0"/>
        <v>Informatica</v>
      </c>
      <c r="C4" t="str">
        <f t="shared" si="1"/>
        <v>5</v>
      </c>
      <c r="D4" t="str">
        <f t="shared" si="2"/>
        <v>C</v>
      </c>
    </row>
    <row r="5" spans="1:4" x14ac:dyDescent="0.25">
      <c r="A5" t="s">
        <v>62</v>
      </c>
      <c r="B5" t="str">
        <f t="shared" si="0"/>
        <v>Informatica</v>
      </c>
      <c r="C5" t="str">
        <f t="shared" si="1"/>
        <v>5</v>
      </c>
      <c r="D5" t="str">
        <f t="shared" si="2"/>
        <v>C</v>
      </c>
    </row>
    <row r="6" spans="1:4" x14ac:dyDescent="0.25">
      <c r="A6" t="s">
        <v>61</v>
      </c>
      <c r="B6" t="str">
        <f t="shared" si="0"/>
        <v>Informatica</v>
      </c>
      <c r="C6" t="str">
        <f t="shared" si="1"/>
        <v>5</v>
      </c>
      <c r="D6" t="str">
        <f t="shared" si="2"/>
        <v>C</v>
      </c>
    </row>
    <row r="7" spans="1:4" x14ac:dyDescent="0.25">
      <c r="A7" t="s">
        <v>66</v>
      </c>
      <c r="B7" t="str">
        <f t="shared" si="0"/>
        <v>Automotor</v>
      </c>
      <c r="C7" t="str">
        <f t="shared" si="1"/>
        <v>5</v>
      </c>
      <c r="D7" t="str">
        <f t="shared" si="2"/>
        <v>B</v>
      </c>
    </row>
    <row r="8" spans="1:4" x14ac:dyDescent="0.25">
      <c r="A8" t="s">
        <v>67</v>
      </c>
      <c r="B8" t="str">
        <f t="shared" si="0"/>
        <v>Automotor</v>
      </c>
      <c r="C8" t="str">
        <f t="shared" si="1"/>
        <v>5</v>
      </c>
      <c r="D8" t="str">
        <f t="shared" si="2"/>
        <v>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Pinto</dc:creator>
  <cp:lastModifiedBy>Alumnos taller quinto año</cp:lastModifiedBy>
  <dcterms:created xsi:type="dcterms:W3CDTF">2026-04-24T16:26:59Z</dcterms:created>
  <dcterms:modified xsi:type="dcterms:W3CDTF">2026-04-24T19:38:50Z</dcterms:modified>
</cp:coreProperties>
</file>