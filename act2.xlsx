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13_ncr:1_{873A3AB7-B4A4-44B1-A90E-CCD0A416998D}" xr6:coauthVersionLast="47" xr6:coauthVersionMax="47" xr10:uidLastSave="{00000000-0000-0000-0000-000000000000}"/>
  <bookViews>
    <workbookView xWindow="-120" yWindow="-120" windowWidth="29040" windowHeight="15720" activeTab="1" xr2:uid="{B87F5580-C1FB-4039-98CB-65D384472B2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J3" i="2"/>
  <c r="H3" i="2"/>
  <c r="I3" i="2"/>
  <c r="I4" i="2"/>
  <c r="I5" i="2"/>
  <c r="I6" i="2"/>
  <c r="I2" i="2"/>
  <c r="H2" i="2"/>
  <c r="H6" i="2"/>
  <c r="H4" i="2"/>
  <c r="H5" i="2"/>
  <c r="H7" i="2"/>
  <c r="E4" i="2"/>
  <c r="E5" i="2"/>
  <c r="E6" i="2"/>
  <c r="E7" i="2"/>
  <c r="E3" i="2"/>
  <c r="B9" i="2"/>
  <c r="F4" i="2" s="1"/>
  <c r="B8" i="1"/>
  <c r="E3" i="1"/>
  <c r="E4" i="1"/>
  <c r="E5" i="1"/>
  <c r="E6" i="1"/>
  <c r="E2" i="1"/>
  <c r="D3" i="1"/>
  <c r="D4" i="1"/>
  <c r="D5" i="1"/>
  <c r="D6" i="1"/>
  <c r="D2" i="1"/>
  <c r="C2" i="1"/>
  <c r="C4" i="1"/>
  <c r="C3" i="1"/>
  <c r="C5" i="1"/>
  <c r="C6" i="1"/>
  <c r="F5" i="2" l="1"/>
  <c r="F6" i="2"/>
  <c r="F7" i="2"/>
</calcChain>
</file>

<file path=xl/sharedStrings.xml><?xml version="1.0" encoding="utf-8"?>
<sst xmlns="http://schemas.openxmlformats.org/spreadsheetml/2006/main" count="41" uniqueCount="34">
  <si>
    <t>nombre</t>
  </si>
  <si>
    <t>apellido</t>
  </si>
  <si>
    <t>pedro</t>
  </si>
  <si>
    <t>sanchez</t>
  </si>
  <si>
    <t>claudia</t>
  </si>
  <si>
    <t>gonzales</t>
  </si>
  <si>
    <t>mateo</t>
  </si>
  <si>
    <t>perez</t>
  </si>
  <si>
    <t>mario</t>
  </si>
  <si>
    <t>pereyra</t>
  </si>
  <si>
    <t>juana</t>
  </si>
  <si>
    <t>iturraspe</t>
  </si>
  <si>
    <t>apellidos y nombres</t>
  </si>
  <si>
    <t>usuario</t>
  </si>
  <si>
    <t>email</t>
  </si>
  <si>
    <t>dominio</t>
  </si>
  <si>
    <t>razon social</t>
  </si>
  <si>
    <t>luis</t>
  </si>
  <si>
    <t>carina</t>
  </si>
  <si>
    <t>gustavo</t>
  </si>
  <si>
    <t>fernando</t>
  </si>
  <si>
    <t>rodriguez</t>
  </si>
  <si>
    <t>benitez</t>
  </si>
  <si>
    <t>cosimi</t>
  </si>
  <si>
    <t>castellano</t>
  </si>
  <si>
    <t>belgrano</t>
  </si>
  <si>
    <t>4 de enero</t>
  </si>
  <si>
    <t>balcarce</t>
  </si>
  <si>
    <t>espora</t>
  </si>
  <si>
    <t>las heras</t>
  </si>
  <si>
    <t>direccion</t>
  </si>
  <si>
    <t>nro</t>
  </si>
  <si>
    <t>calle</t>
  </si>
  <si>
    <t>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</si>
</sst>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2" borderId="1" xfId="0" applyFont="1" applyFill="1" applyBorder="1"/>
    <xf numFmtId="0" fontId="1" fillId="2" borderId="4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B3DD-88C6-4ABA-9608-D065DDF427AA}">
  <dimension ref="A1:E8"/>
  <sheetViews>
    <sheetView workbookViewId="0">
      <selection activeCell="C11" sqref="C11"/>
    </sheetView>
  </sheetViews>
  <sheetFormatPr baseColWidth="10" defaultRowHeight="15" x14ac:dyDescent="0.25"/>
  <cols>
    <col min="3" max="3" width="19" bestFit="1" customWidth="1"/>
    <col min="4" max="4" width="15.42578125" bestFit="1" customWidth="1"/>
    <col min="5" max="5" width="40.5703125" bestFit="1" customWidth="1"/>
  </cols>
  <sheetData>
    <row r="1" spans="1:5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5" x14ac:dyDescent="0.25">
      <c r="A2" t="s">
        <v>2</v>
      </c>
      <c r="B2" t="s">
        <v>3</v>
      </c>
      <c r="C2" t="str">
        <f>A2&amp;" "&amp;B2</f>
        <v>pedro sanchez</v>
      </c>
      <c r="D2" t="str">
        <f>LOWER(A2&amp;B2)</f>
        <v>pedrosanchez</v>
      </c>
      <c r="E2" t="str">
        <f>(D2&amp;B$8)</f>
        <v>pedrosanchez@eetp614santotome.edu.ar</v>
      </c>
    </row>
    <row r="3" spans="1:5" x14ac:dyDescent="0.25">
      <c r="A3" t="s">
        <v>4</v>
      </c>
      <c r="B3" t="s">
        <v>5</v>
      </c>
      <c r="C3" t="str">
        <f t="shared" ref="C3:C6" si="0">A3&amp;" "&amp;B3</f>
        <v>claudia gonzales</v>
      </c>
      <c r="D3" t="str">
        <f t="shared" ref="D3:D6" si="1">LOWER(A3&amp;B3)</f>
        <v>claudiagonzales</v>
      </c>
      <c r="E3" t="str">
        <f t="shared" ref="E3:E6" si="2">(D3&amp;B$8)</f>
        <v>claudiagonzales@eetp614santotome.edu.ar</v>
      </c>
    </row>
    <row r="4" spans="1:5" x14ac:dyDescent="0.25">
      <c r="A4" t="s">
        <v>6</v>
      </c>
      <c r="B4" t="s">
        <v>7</v>
      </c>
      <c r="C4" t="str">
        <f>A4&amp;" "&amp;B4</f>
        <v>mateo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8</v>
      </c>
      <c r="B5" t="s">
        <v>9</v>
      </c>
      <c r="C5" t="str">
        <f t="shared" si="0"/>
        <v>mario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10</v>
      </c>
      <c r="B6" t="s">
        <v>11</v>
      </c>
      <c r="C6" t="str">
        <f t="shared" si="0"/>
        <v>juana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15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1103-4934-459D-A5DC-0B4A17F2BBC8}">
  <dimension ref="A1:J9"/>
  <sheetViews>
    <sheetView tabSelected="1" workbookViewId="0">
      <selection activeCell="A6" sqref="A3:A6"/>
    </sheetView>
  </sheetViews>
  <sheetFormatPr baseColWidth="10" defaultRowHeight="15" x14ac:dyDescent="0.25"/>
  <cols>
    <col min="1" max="1" width="10.140625" bestFit="1" customWidth="1"/>
    <col min="2" max="2" width="12" bestFit="1" customWidth="1"/>
    <col min="4" max="4" width="8.42578125" customWidth="1"/>
    <col min="5" max="5" width="13.85546875" bestFit="1" customWidth="1"/>
    <col min="6" max="6" width="43.85546875" bestFit="1" customWidth="1"/>
  </cols>
  <sheetData>
    <row r="1" spans="1:10" x14ac:dyDescent="0.25">
      <c r="A1" s="7" t="s">
        <v>16</v>
      </c>
      <c r="B1" s="7"/>
      <c r="C1" s="7" t="s">
        <v>33</v>
      </c>
      <c r="D1" s="7"/>
      <c r="E1" s="1"/>
      <c r="F1" s="4"/>
    </row>
    <row r="2" spans="1:10" ht="17.25" x14ac:dyDescent="0.3">
      <c r="A2" s="5" t="s">
        <v>0</v>
      </c>
      <c r="B2" s="5" t="s">
        <v>1</v>
      </c>
      <c r="C2" s="5" t="s">
        <v>32</v>
      </c>
      <c r="D2" s="5" t="s">
        <v>31</v>
      </c>
      <c r="E2" s="5" t="s">
        <v>30</v>
      </c>
      <c r="F2" s="6" t="s">
        <v>14</v>
      </c>
      <c r="H2" t="str">
        <f>SUBSTITUTE(A3,"a","4")</f>
        <v>pedro</v>
      </c>
      <c r="I2" t="str">
        <f>SUBSTITUTE(A3,"e","3")</f>
        <v>p3dro</v>
      </c>
      <c r="J2" t="s">
        <v>14</v>
      </c>
    </row>
    <row r="3" spans="1:10" x14ac:dyDescent="0.25">
      <c r="A3" s="1" t="s">
        <v>2</v>
      </c>
      <c r="B3" s="1" t="s">
        <v>3</v>
      </c>
      <c r="C3" s="1" t="s">
        <v>25</v>
      </c>
      <c r="D3" s="1">
        <v>2322</v>
      </c>
      <c r="E3" s="1" t="str">
        <f>LOWER(C3&amp;" "&amp;D3)</f>
        <v>belgrano 2322</v>
      </c>
      <c r="F3" s="4" t="str">
        <f>LOWER(A3&amp;B3&amp;B$9)</f>
        <v>pedrosanchez@gmail.com</v>
      </c>
      <c r="H3" t="str">
        <f xml:space="preserve"> SUBSTITUTE(A4,"a","4")</f>
        <v>luis</v>
      </c>
      <c r="I3" t="str">
        <f>SUBSTITUTE(A4,"e","3")</f>
        <v>luis</v>
      </c>
      <c r="J3" t="str">
        <f>LOWER(A3&amp;B3&amp;B$9)</f>
        <v>pedrosanchez@gmail.com</v>
      </c>
    </row>
    <row r="4" spans="1:10" x14ac:dyDescent="0.25">
      <c r="A4" s="1" t="s">
        <v>17</v>
      </c>
      <c r="B4" s="1" t="s">
        <v>21</v>
      </c>
      <c r="C4" s="1" t="s">
        <v>26</v>
      </c>
      <c r="D4" s="1">
        <v>710</v>
      </c>
      <c r="E4" s="1" t="str">
        <f t="shared" ref="E4:E7" si="0">LOWER(C4&amp;" "&amp;D4)</f>
        <v>4 de enero 710</v>
      </c>
      <c r="F4" s="4" t="str">
        <f t="shared" ref="F4:F7" si="1">LOWER(A4&amp;B4&amp;B$9)</f>
        <v>luisrodriguez@gmail.com</v>
      </c>
      <c r="H4" t="str">
        <f t="shared" ref="H4:H7" si="2">SUBSTITUTE(A5,"a","4")</f>
        <v>c4rin4</v>
      </c>
      <c r="I4" t="str">
        <f t="shared" ref="I4:I6" si="3">SUBSTITUTE(A5,"e","3")</f>
        <v>carina</v>
      </c>
    </row>
    <row r="5" spans="1:10" x14ac:dyDescent="0.25">
      <c r="A5" s="1" t="s">
        <v>18</v>
      </c>
      <c r="B5" s="1" t="s">
        <v>22</v>
      </c>
      <c r="C5" s="1" t="s">
        <v>27</v>
      </c>
      <c r="D5" s="1">
        <v>2244</v>
      </c>
      <c r="E5" s="1" t="str">
        <f t="shared" si="0"/>
        <v>balcarce 2244</v>
      </c>
      <c r="F5" s="4" t="str">
        <f t="shared" si="1"/>
        <v>carinabenitez@gmail.com</v>
      </c>
      <c r="H5" t="str">
        <f t="shared" si="2"/>
        <v>gust4vo</v>
      </c>
      <c r="I5" t="str">
        <f t="shared" si="3"/>
        <v>gustavo</v>
      </c>
    </row>
    <row r="6" spans="1:10" x14ac:dyDescent="0.25">
      <c r="A6" s="1" t="s">
        <v>19</v>
      </c>
      <c r="B6" s="1" t="s">
        <v>23</v>
      </c>
      <c r="C6" s="1" t="s">
        <v>28</v>
      </c>
      <c r="D6" s="1">
        <v>3222</v>
      </c>
      <c r="E6" s="1" t="str">
        <f t="shared" si="0"/>
        <v>espora 3222</v>
      </c>
      <c r="F6" s="4" t="str">
        <f t="shared" si="1"/>
        <v>gustavocosimi@gmail.com</v>
      </c>
      <c r="H6" t="str">
        <f>SUBSTITUTE(A7,"a","4")</f>
        <v>fern4ndo</v>
      </c>
      <c r="I6" t="str">
        <f t="shared" si="3"/>
        <v>f3rnando</v>
      </c>
    </row>
    <row r="7" spans="1:10" ht="15.75" thickBot="1" x14ac:dyDescent="0.3">
      <c r="A7" s="2" t="s">
        <v>20</v>
      </c>
      <c r="B7" s="2" t="s">
        <v>24</v>
      </c>
      <c r="C7" s="2" t="s">
        <v>29</v>
      </c>
      <c r="D7" s="2">
        <v>3885</v>
      </c>
      <c r="E7" s="2" t="str">
        <f t="shared" si="0"/>
        <v>las heras 3885</v>
      </c>
      <c r="F7" s="3" t="str">
        <f t="shared" si="1"/>
        <v>fernandocastellano@gmail.com</v>
      </c>
      <c r="H7" t="str">
        <f t="shared" si="2"/>
        <v/>
      </c>
    </row>
    <row r="8" spans="1:10" ht="15.75" thickTop="1" x14ac:dyDescent="0.25"/>
    <row r="9" spans="1:10" x14ac:dyDescent="0.25">
      <c r="A9" t="s">
        <v>15</v>
      </c>
      <c r="B9" t="str">
        <f>"@gmail.com"</f>
        <v>@gmail.com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2026-03-27T18:55:01Z</dcterms:created>
  <dcterms:modified xsi:type="dcterms:W3CDTF">2026-04-09T19:11:46Z</dcterms:modified>
</cp:coreProperties>
</file>