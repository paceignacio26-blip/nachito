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13_ncr:1_{FE81F517-1EAB-47CF-B01B-AD1F86744833}" xr6:coauthVersionLast="47" xr6:coauthVersionMax="47" xr10:uidLastSave="{00000000-0000-0000-0000-000000000000}"/>
  <bookViews>
    <workbookView xWindow="-120" yWindow="-120" windowWidth="29040" windowHeight="15720" activeTab="1" xr2:uid="{CF166EE0-CE49-4D83-9A76-0D849D662DC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E10" i="2"/>
  <c r="E9" i="2"/>
  <c r="D12" i="2"/>
  <c r="D10" i="2"/>
  <c r="D9" i="2"/>
  <c r="C3" i="1"/>
  <c r="C2" i="1"/>
  <c r="B2" i="1"/>
  <c r="F3" i="1"/>
  <c r="F4" i="1"/>
  <c r="F2" i="1"/>
  <c r="B7" i="1"/>
  <c r="B8" i="1"/>
  <c r="B9" i="1"/>
  <c r="B6" i="1"/>
  <c r="C4" i="1"/>
  <c r="E3" i="1"/>
  <c r="E4" i="1"/>
  <c r="E2" i="1"/>
  <c r="D3" i="1"/>
  <c r="D4" i="1"/>
  <c r="D2" i="1"/>
  <c r="B3" i="1"/>
  <c r="J4" i="1"/>
  <c r="H4" i="1"/>
  <c r="I4" i="1"/>
  <c r="B4" i="1"/>
</calcChain>
</file>

<file path=xl/sharedStrings.xml><?xml version="1.0" encoding="utf-8"?>
<sst xmlns="http://schemas.openxmlformats.org/spreadsheetml/2006/main" count="50" uniqueCount="38">
  <si>
    <t>nombre</t>
  </si>
  <si>
    <t>ignacio, nacho schneider</t>
  </si>
  <si>
    <t>schneider, ignacio</t>
  </si>
  <si>
    <t>apellido</t>
  </si>
  <si>
    <t>marta, maria perez</t>
  </si>
  <si>
    <t>LARGO</t>
  </si>
  <si>
    <t>posicion de la coma</t>
  </si>
  <si>
    <t>largo-hallar</t>
  </si>
  <si>
    <t>gerardoluis@gmail.com</t>
  </si>
  <si>
    <t>pedro1231@gmail.com</t>
  </si>
  <si>
    <t>antonioperez@gmail.com</t>
  </si>
  <si>
    <t>estebanquito@gmail.com</t>
  </si>
  <si>
    <t>email</t>
  </si>
  <si>
    <t>usuario</t>
  </si>
  <si>
    <t>luis</t>
  </si>
  <si>
    <t>carla</t>
  </si>
  <si>
    <t>sergio</t>
  </si>
  <si>
    <t>luisa</t>
  </si>
  <si>
    <t>ramona</t>
  </si>
  <si>
    <t>romero</t>
  </si>
  <si>
    <t>conte</t>
  </si>
  <si>
    <t>perez</t>
  </si>
  <si>
    <t>ramirez</t>
  </si>
  <si>
    <t>genero</t>
  </si>
  <si>
    <t>m</t>
  </si>
  <si>
    <t>f</t>
  </si>
  <si>
    <t>curso</t>
  </si>
  <si>
    <t>5a</t>
  </si>
  <si>
    <t>5c</t>
  </si>
  <si>
    <t>nota</t>
  </si>
  <si>
    <t>cantidad de alumnos de 5a</t>
  </si>
  <si>
    <t>cantidad de alumnos aprobados</t>
  </si>
  <si>
    <t>cantidad de alumnas reprobadas</t>
  </si>
  <si>
    <t>carlos</t>
  </si>
  <si>
    <t>specialli</t>
  </si>
  <si>
    <t>cantidad de alumnos de 5c aprobados</t>
  </si>
  <si>
    <t>precio rifa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</si>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</sst>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tonioperez@gmail.com" TargetMode="External"/><Relationship Id="rId2" Type="http://schemas.openxmlformats.org/officeDocument/2006/relationships/hyperlink" Target="mailto:pedro1231@gmail.com" TargetMode="External"/><Relationship Id="rId1" Type="http://schemas.openxmlformats.org/officeDocument/2006/relationships/hyperlink" Target="mailto:gerardoluis@gmail.com" TargetMode="External"/><Relationship Id="rId4" Type="http://schemas.openxmlformats.org/officeDocument/2006/relationships/hyperlink" Target="mailto:estebanqui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DA63-CCE0-43A7-8BF4-070FA438052B}">
  <dimension ref="A1:J9"/>
  <sheetViews>
    <sheetView workbookViewId="0">
      <selection activeCell="A4" sqref="A1:A4"/>
    </sheetView>
  </sheetViews>
  <sheetFormatPr baseColWidth="10" defaultRowHeight="15" x14ac:dyDescent="0.25"/>
  <cols>
    <col min="1" max="1" width="24.140625" bestFit="1" customWidth="1"/>
    <col min="2" max="2" width="12.85546875" bestFit="1" customWidth="1"/>
    <col min="3" max="3" width="15.42578125" bestFit="1" customWidth="1"/>
    <col min="5" max="5" width="18.42578125" bestFit="1" customWidth="1"/>
  </cols>
  <sheetData>
    <row r="1" spans="1:10" x14ac:dyDescent="0.25">
      <c r="A1" t="s">
        <v>0</v>
      </c>
      <c r="B1" t="s">
        <v>3</v>
      </c>
      <c r="C1" t="s">
        <v>0</v>
      </c>
      <c r="D1" t="s">
        <v>5</v>
      </c>
      <c r="E1" t="s">
        <v>6</v>
      </c>
      <c r="F1" t="s">
        <v>7</v>
      </c>
    </row>
    <row r="2" spans="1:10" x14ac:dyDescent="0.25">
      <c r="A2" t="s">
        <v>2</v>
      </c>
      <c r="B2" t="str">
        <f>LEFT(A2,SEARCH(",",A2,1)-1)</f>
        <v>schneider</v>
      </c>
      <c r="C2" t="str">
        <f>RIGHT(A2,LEN(A2)-SEARCH(",",A2,1)-1)</f>
        <v>ignacio</v>
      </c>
      <c r="D2">
        <f>LEN(A2)</f>
        <v>18</v>
      </c>
      <c r="E2">
        <f>SEARCH(",",A2,1)</f>
        <v>10</v>
      </c>
      <c r="F2">
        <f>D2-E2</f>
        <v>8</v>
      </c>
    </row>
    <row r="3" spans="1:10" x14ac:dyDescent="0.25">
      <c r="A3" t="s">
        <v>4</v>
      </c>
      <c r="B3" t="str">
        <f>LEFT(A3,SEARCH(",",A3,1)-1)</f>
        <v>marta</v>
      </c>
      <c r="C3" t="str">
        <f>RIGHT(A3,LEN(A3)-SEARCH(",",A3,1)-1)</f>
        <v>maria perez</v>
      </c>
      <c r="D3">
        <f t="shared" ref="D3:D4" si="0">LEN(A3)</f>
        <v>18</v>
      </c>
      <c r="E3">
        <f t="shared" ref="E3:E4" si="1">SEARCH(",",A3,1)</f>
        <v>6</v>
      </c>
      <c r="F3">
        <f t="shared" ref="F3:F4" si="2">D3-E3</f>
        <v>12</v>
      </c>
    </row>
    <row r="4" spans="1:10" x14ac:dyDescent="0.25">
      <c r="A4" t="s">
        <v>1</v>
      </c>
      <c r="B4" t="str">
        <f t="shared" ref="B4" si="3">LEFT(A4,SEARCH(",",A4,1)-1)</f>
        <v>ignacio</v>
      </c>
      <c r="C4" t="str">
        <f t="shared" ref="C3:C4" si="4">RIGHT(A4,LEN(A4)-SEARCH(",",A4,1)-1)</f>
        <v>nacho schneider</v>
      </c>
      <c r="D4">
        <f t="shared" si="0"/>
        <v>24</v>
      </c>
      <c r="E4">
        <f t="shared" si="1"/>
        <v>8</v>
      </c>
      <c r="F4">
        <f t="shared" si="2"/>
        <v>16</v>
      </c>
      <c r="H4">
        <f>LEN(A2)</f>
        <v>18</v>
      </c>
      <c r="I4" t="str">
        <f>LEFT(A2,3)</f>
        <v>sch</v>
      </c>
      <c r="J4" t="str">
        <f>RIGHT(A2,3)</f>
        <v>cio</v>
      </c>
    </row>
    <row r="5" spans="1:10" x14ac:dyDescent="0.25">
      <c r="A5" t="s">
        <v>12</v>
      </c>
      <c r="B5" t="s">
        <v>13</v>
      </c>
    </row>
    <row r="6" spans="1:10" x14ac:dyDescent="0.25">
      <c r="A6" s="1" t="s">
        <v>8</v>
      </c>
      <c r="B6" t="str">
        <f>LEFT(A6,SEARCH("@",A6,1)-1)</f>
        <v>gerardoluis</v>
      </c>
    </row>
    <row r="7" spans="1:10" x14ac:dyDescent="0.25">
      <c r="A7" s="1" t="s">
        <v>9</v>
      </c>
      <c r="B7" t="str">
        <f t="shared" ref="B7:B9" si="5">LEFT(A7,SEARCH("@",A7,1)-1)</f>
        <v>pedro1231</v>
      </c>
    </row>
    <row r="8" spans="1:10" x14ac:dyDescent="0.25">
      <c r="A8" s="1" t="s">
        <v>10</v>
      </c>
      <c r="B8" t="str">
        <f t="shared" si="5"/>
        <v>antonioperez</v>
      </c>
    </row>
    <row r="9" spans="1:10" x14ac:dyDescent="0.25">
      <c r="A9" s="1" t="s">
        <v>11</v>
      </c>
      <c r="B9" t="str">
        <f t="shared" si="5"/>
        <v>estebanquito</v>
      </c>
    </row>
  </sheetData>
  <hyperlinks>
    <hyperlink ref="A6" r:id="rId1" xr:uid="{5F0B3044-4F31-4CFF-9AA7-EE5DA0CAEF46}"/>
    <hyperlink ref="A7" r:id="rId2" xr:uid="{BA10CE78-E227-4704-967E-88102D65DCE7}"/>
    <hyperlink ref="A8" r:id="rId3" xr:uid="{37A77EAB-024F-4217-979B-5B487F20F910}"/>
    <hyperlink ref="A9" r:id="rId4" xr:uid="{FB0BB2E6-035E-404F-9E1D-4CED89844A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B10B-B95E-46BB-83FF-269F21CEC5CB}">
  <dimension ref="A1:G12"/>
  <sheetViews>
    <sheetView tabSelected="1" workbookViewId="0">
      <selection activeCell="E9" sqref="E9"/>
    </sheetView>
  </sheetViews>
  <sheetFormatPr baseColWidth="10" defaultRowHeight="15" x14ac:dyDescent="0.25"/>
  <sheetData>
    <row r="1" spans="1:7" x14ac:dyDescent="0.25">
      <c r="A1" t="s">
        <v>0</v>
      </c>
      <c r="B1" t="s">
        <v>3</v>
      </c>
      <c r="C1" t="s">
        <v>23</v>
      </c>
      <c r="D1" t="s">
        <v>26</v>
      </c>
      <c r="E1" t="s">
        <v>29</v>
      </c>
      <c r="F1" t="s">
        <v>36</v>
      </c>
      <c r="G1" t="s">
        <v>37</v>
      </c>
    </row>
    <row r="2" spans="1:7" x14ac:dyDescent="0.25">
      <c r="A2" t="s">
        <v>14</v>
      </c>
      <c r="B2" t="s">
        <v>19</v>
      </c>
      <c r="C2" t="s">
        <v>24</v>
      </c>
      <c r="D2" t="s">
        <v>27</v>
      </c>
      <c r="E2">
        <v>8</v>
      </c>
      <c r="F2">
        <v>250</v>
      </c>
      <c r="G2">
        <v>4</v>
      </c>
    </row>
    <row r="3" spans="1:7" x14ac:dyDescent="0.25">
      <c r="A3" t="s">
        <v>15</v>
      </c>
      <c r="B3" t="s">
        <v>20</v>
      </c>
      <c r="C3" t="s">
        <v>25</v>
      </c>
      <c r="D3" t="s">
        <v>27</v>
      </c>
      <c r="E3">
        <v>7</v>
      </c>
      <c r="F3">
        <v>110</v>
      </c>
      <c r="G3">
        <v>3</v>
      </c>
    </row>
    <row r="4" spans="1:7" x14ac:dyDescent="0.25">
      <c r="A4" t="s">
        <v>16</v>
      </c>
      <c r="B4" t="s">
        <v>21</v>
      </c>
      <c r="C4" t="s">
        <v>24</v>
      </c>
      <c r="D4" t="s">
        <v>28</v>
      </c>
      <c r="E4">
        <v>4</v>
      </c>
      <c r="F4">
        <v>100</v>
      </c>
      <c r="G4">
        <v>2</v>
      </c>
    </row>
    <row r="5" spans="1:7" x14ac:dyDescent="0.25">
      <c r="A5" t="s">
        <v>17</v>
      </c>
      <c r="B5" t="s">
        <v>22</v>
      </c>
      <c r="C5" t="s">
        <v>25</v>
      </c>
      <c r="D5" t="s">
        <v>28</v>
      </c>
      <c r="E5">
        <v>5</v>
      </c>
      <c r="F5">
        <v>350</v>
      </c>
      <c r="G5">
        <v>5</v>
      </c>
    </row>
    <row r="6" spans="1:7" x14ac:dyDescent="0.25">
      <c r="A6" t="s">
        <v>18</v>
      </c>
      <c r="B6" t="s">
        <v>19</v>
      </c>
      <c r="C6" t="s">
        <v>25</v>
      </c>
      <c r="D6" t="s">
        <v>27</v>
      </c>
      <c r="E6">
        <v>6</v>
      </c>
      <c r="F6">
        <v>500</v>
      </c>
      <c r="G6">
        <v>4</v>
      </c>
    </row>
    <row r="7" spans="1:7" x14ac:dyDescent="0.25">
      <c r="A7" t="s">
        <v>33</v>
      </c>
      <c r="B7" t="s">
        <v>34</v>
      </c>
      <c r="C7" t="s">
        <v>24</v>
      </c>
      <c r="D7" t="s">
        <v>28</v>
      </c>
      <c r="E7">
        <v>4</v>
      </c>
      <c r="F7">
        <v>200</v>
      </c>
      <c r="G7">
        <v>2</v>
      </c>
    </row>
    <row r="9" spans="1:7" x14ac:dyDescent="0.25">
      <c r="A9" t="s">
        <v>30</v>
      </c>
      <c r="D9">
        <f>COUNTIF(D2:D7,"5a")</f>
        <v>3</v>
      </c>
      <c r="E9">
        <f>SUMPRODUCT(F2:F7,G2:G7)</f>
        <v>5680</v>
      </c>
    </row>
    <row r="10" spans="1:7" x14ac:dyDescent="0.25">
      <c r="A10" t="s">
        <v>31</v>
      </c>
      <c r="D10">
        <f>COUNTIF(E2:E7,"&gt;5")</f>
        <v>3</v>
      </c>
      <c r="E10">
        <f>SUMIF(C2:C7,"F",G2:G7)</f>
        <v>12</v>
      </c>
    </row>
    <row r="11" spans="1:7" x14ac:dyDescent="0.25">
      <c r="A11" t="s">
        <v>32</v>
      </c>
      <c r="D11">
        <f>COUNTIFS(C2:C7,"f",E2:E7,"&lt;=5")</f>
        <v>1</v>
      </c>
    </row>
    <row r="12" spans="1:7" x14ac:dyDescent="0.25">
      <c r="A12" t="s">
        <v>35</v>
      </c>
      <c r="D12">
        <f>COUNTIFS(C2:C7,"m",D2:D7,"5c",E2:E7,"&gt;5")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3BB7-5408-41C7-A854-F9BA4DD8E16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2026-04-10T18:56:05Z</dcterms:created>
  <dcterms:modified xsi:type="dcterms:W3CDTF">2026-04-17T19:42:32Z</dcterms:modified>
</cp:coreProperties>
</file>